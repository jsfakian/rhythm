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ropbox\rythm\CT_protocols\"/>
    </mc:Choice>
  </mc:AlternateContent>
  <xr:revisionPtr revIDLastSave="0" documentId="13_ncr:1_{B465EEB8-B922-45ED-8992-4A79B52CC06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ediatric Head CT Protocols" sheetId="4" r:id="rId1"/>
    <sheet name="Pediatric Body CT Protocols" sheetId="6" r:id="rId2"/>
    <sheet name="Adult CT Protocols" sheetId="7" r:id="rId3"/>
    <sheet name="Lists" sheetId="2" r:id="rId4"/>
    <sheet name="_Dropdown_Source" sheetId="3" state="hidden" r:id="rId5"/>
  </sheets>
  <definedNames>
    <definedName name="Canon">_Dropdown_Source!$B$1:$B$3</definedName>
    <definedName name="CT_Manufacturers">_Dropdown_Source!$A$1:$A$5</definedName>
    <definedName name="General_Electric">_Dropdown_Source!$C$1:$C$3</definedName>
    <definedName name="Other_Please_Specify">_Dropdown_Source!$F$1:$F$2</definedName>
    <definedName name="Philips">_Dropdown_Source!$D$1:$D$3</definedName>
    <definedName name="Siemens">_Dropdown_Source!$E$1:$E$4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7" l="1"/>
  <c r="A15" i="7"/>
  <c r="A16" i="6"/>
  <c r="A15" i="6"/>
  <c r="A16" i="4" l="1"/>
  <c r="A15" i="4" l="1"/>
  <c r="N1" i="2" l="1"/>
</calcChain>
</file>

<file path=xl/sharedStrings.xml><?xml version="1.0" encoding="utf-8"?>
<sst xmlns="http://schemas.openxmlformats.org/spreadsheetml/2006/main" count="271" uniqueCount="132">
  <si>
    <t>CT Manufacturer:</t>
  </si>
  <si>
    <t>Canon</t>
  </si>
  <si>
    <t>Scanner Model:</t>
  </si>
  <si>
    <t>Year of Installation:</t>
  </si>
  <si>
    <t>Head CT Examinations</t>
  </si>
  <si>
    <t>Group 1</t>
  </si>
  <si>
    <t>Group 2</t>
  </si>
  <si>
    <t>Group 3</t>
  </si>
  <si>
    <t>Group 4</t>
  </si>
  <si>
    <t>Age (years)</t>
  </si>
  <si>
    <t>&lt; 3 months</t>
  </si>
  <si>
    <t>3 months - 1 year</t>
  </si>
  <si>
    <t>1 year - 6 years</t>
  </si>
  <si>
    <t>&gt; 6 years</t>
  </si>
  <si>
    <t>Clinical Indication</t>
  </si>
  <si>
    <t>Protocol Name</t>
  </si>
  <si>
    <t>Anatomical Region</t>
  </si>
  <si>
    <t>Scan Type</t>
  </si>
  <si>
    <t>Automatic kVp Selection</t>
  </si>
  <si>
    <t>Automatic mA Modulation</t>
  </si>
  <si>
    <t>kVp</t>
  </si>
  <si>
    <t>Pitch</t>
  </si>
  <si>
    <t>Rotation Time (s)</t>
  </si>
  <si>
    <t>Slice Thickness (mm) 1st Recon</t>
  </si>
  <si>
    <t>Scan Field of View</t>
  </si>
  <si>
    <t>Filter Kernel</t>
  </si>
  <si>
    <t>Recontruction Algorithm</t>
  </si>
  <si>
    <t>Contrast</t>
  </si>
  <si>
    <t>Number of Phases</t>
  </si>
  <si>
    <t>Group 5</t>
  </si>
  <si>
    <t>Neonate</t>
  </si>
  <si>
    <t>Infant, Toddler and Early childhood</t>
  </si>
  <si>
    <t xml:space="preserve">Childhood </t>
  </si>
  <si>
    <t>Early Adolesence</t>
  </si>
  <si>
    <t xml:space="preserve">Adolesence </t>
  </si>
  <si>
    <t>Weight (kg)</t>
  </si>
  <si>
    <t>&lt; 5 kg</t>
  </si>
  <si>
    <t>5 kg - 15 kg</t>
  </si>
  <si>
    <t>15 kg - 30 kg</t>
  </si>
  <si>
    <t>30 kg - 50 kg</t>
  </si>
  <si>
    <t>50 kg - 80 kg</t>
  </si>
  <si>
    <t>CT Manufacturer</t>
  </si>
  <si>
    <t>Reconstruction Algorithm</t>
  </si>
  <si>
    <t>Off</t>
  </si>
  <si>
    <t>Sure kV</t>
  </si>
  <si>
    <t>Not Available</t>
  </si>
  <si>
    <t>SureExposure</t>
  </si>
  <si>
    <t>Ped Head</t>
  </si>
  <si>
    <t>FC10</t>
  </si>
  <si>
    <t>FC20</t>
  </si>
  <si>
    <t>FC30</t>
  </si>
  <si>
    <t>FC40</t>
  </si>
  <si>
    <t>FC50</t>
  </si>
  <si>
    <t>Other: Please Specify</t>
  </si>
  <si>
    <t>Filtered Back Projection (FBP)</t>
  </si>
  <si>
    <t>FIRST: Iterative Reconstruction (IR)</t>
  </si>
  <si>
    <t>AIDR 3D: Iterative Reconstruction (IR)</t>
  </si>
  <si>
    <t>AiCE: Deep Learning Reconstruction (DLR)</t>
  </si>
  <si>
    <t>PIQE: Deep Learning Reconstruction (DLR)</t>
  </si>
  <si>
    <t>General Electric</t>
  </si>
  <si>
    <t>kV Assist</t>
  </si>
  <si>
    <t>AutomA</t>
  </si>
  <si>
    <t>SmartmA</t>
  </si>
  <si>
    <t>Ref kVp</t>
  </si>
  <si>
    <t>min mA/max mA &amp; Standard Deviation</t>
  </si>
  <si>
    <t>Ped Body</t>
  </si>
  <si>
    <t>Soft</t>
  </si>
  <si>
    <t>Standard</t>
  </si>
  <si>
    <t>Lung</t>
  </si>
  <si>
    <t>Bone</t>
  </si>
  <si>
    <t>Detail</t>
  </si>
  <si>
    <t>ASIR: Iterative Reconstruction (IR)</t>
  </si>
  <si>
    <t>Veo: Iterative Reconstruction (IR)</t>
  </si>
  <si>
    <t>ASIR-V: Iterative Reconstruction (IR)</t>
  </si>
  <si>
    <t>ASIR-V &amp; True Fidelity: IR &amp; Deep Learning Image Reconstruction (DLIR)</t>
  </si>
  <si>
    <t>Philips</t>
  </si>
  <si>
    <t>Dose Right</t>
  </si>
  <si>
    <t>min mA/max mA &amp; Noise Index</t>
  </si>
  <si>
    <t>Small Head</t>
  </si>
  <si>
    <t>A</t>
  </si>
  <si>
    <t>B</t>
  </si>
  <si>
    <t>C</t>
  </si>
  <si>
    <t>D</t>
  </si>
  <si>
    <t>L</t>
  </si>
  <si>
    <t>iDose: Iterative Reconstruction (IR)</t>
  </si>
  <si>
    <t>PRECISE Image: AI-Based Reconstruction</t>
  </si>
  <si>
    <t>Siemens</t>
  </si>
  <si>
    <t>CarekV</t>
  </si>
  <si>
    <t>CarekV Semi</t>
  </si>
  <si>
    <t>CareDose</t>
  </si>
  <si>
    <t>CareDose4D</t>
  </si>
  <si>
    <t>Head</t>
  </si>
  <si>
    <t>H30</t>
  </si>
  <si>
    <t>H50</t>
  </si>
  <si>
    <t>B30</t>
  </si>
  <si>
    <t>B50</t>
  </si>
  <si>
    <t>U30</t>
  </si>
  <si>
    <t>SAFIRE: Iterative Reconstruction (IR)</t>
  </si>
  <si>
    <t>ADMIRE: Iterative Reconstruction (IR)</t>
  </si>
  <si>
    <t>kV Assist &amp; SmartmA</t>
  </si>
  <si>
    <t>min mA/max mA &amp; Noise Index &amp; Clinical Mode</t>
  </si>
  <si>
    <t>Small Body</t>
  </si>
  <si>
    <t>Medium Body</t>
  </si>
  <si>
    <t>Large Body</t>
  </si>
  <si>
    <t>Helical</t>
  </si>
  <si>
    <t>Effective mAs</t>
  </si>
  <si>
    <t>Head&amp;Neck</t>
  </si>
  <si>
    <t>Sequential</t>
  </si>
  <si>
    <t>Quality Reference mAs (QR mAs)</t>
  </si>
  <si>
    <t>Chest</t>
  </si>
  <si>
    <t>Sn100</t>
  </si>
  <si>
    <t>CarekV &amp; CareDose4D</t>
  </si>
  <si>
    <t>Quality Reference mAs (QR mAs) &amp; Dose Optimization Setting</t>
  </si>
  <si>
    <t>Chest&amp;Abdomen</t>
  </si>
  <si>
    <t>Sn140</t>
  </si>
  <si>
    <t>Abdomen</t>
  </si>
  <si>
    <t>Sn150</t>
  </si>
  <si>
    <t>Abdomen&amp;Pelvis</t>
  </si>
  <si>
    <t>Other : Please Specify</t>
  </si>
  <si>
    <t>Chest&amp;Abdomen&amp;Pelvis</t>
  </si>
  <si>
    <t>test</t>
  </si>
  <si>
    <t>mA</t>
  </si>
  <si>
    <t>Doseright</t>
  </si>
  <si>
    <t>3D Modulation</t>
  </si>
  <si>
    <t xml:space="preserve">Dose Right </t>
  </si>
  <si>
    <t>Pediatric Body CT Examinations</t>
  </si>
  <si>
    <t>Group 6</t>
  </si>
  <si>
    <t xml:space="preserve">Young Adulthood </t>
  </si>
  <si>
    <t>&gt; 80 kg</t>
  </si>
  <si>
    <t>Reference mAs &amp; Dose Right Index</t>
  </si>
  <si>
    <t>Additional Info</t>
  </si>
  <si>
    <t>Young Adult CT Examinations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</si>
</sst>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b/>
      <sz val="12"/>
      <color theme="1"/>
      <name val="Calibri"/>
      <family val="2"/>
      <charset val="161"/>
      <scheme val="minor"/>
    </font>
    <font>
      <b/>
      <sz val="16"/>
      <color theme="1"/>
      <name val="Calibri"/>
      <family val="2"/>
      <charset val="161"/>
      <scheme val="minor"/>
    </font>
    <font>
      <b/>
      <sz val="20"/>
      <color theme="1"/>
      <name val="Calibri"/>
      <family val="2"/>
      <charset val="161"/>
      <scheme val="minor"/>
    </font>
    <font>
      <b/>
      <sz val="18"/>
      <color theme="1"/>
      <name val="Calibri"/>
      <family val="2"/>
      <charset val="161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8" borderId="0" xfId="0" applyFill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2" borderId="0" xfId="0" applyFont="1" applyFill="1"/>
    <xf numFmtId="0" fontId="1" fillId="7" borderId="0" xfId="0" applyFont="1" applyFill="1" applyAlignment="1">
      <alignment horizontal="left"/>
    </xf>
    <xf numFmtId="0" fontId="1" fillId="7" borderId="0" xfId="0" applyFont="1" applyFill="1"/>
    <xf numFmtId="0" fontId="1" fillId="4" borderId="0" xfId="0" applyFont="1" applyFill="1"/>
    <xf numFmtId="0" fontId="1" fillId="8" borderId="0" xfId="0" applyFont="1" applyFill="1"/>
    <xf numFmtId="0" fontId="2" fillId="0" borderId="0" xfId="0" applyFont="1" applyAlignment="1">
      <alignment horizontal="center"/>
    </xf>
    <xf numFmtId="0" fontId="1" fillId="3" borderId="0" xfId="0" applyFont="1" applyFill="1"/>
    <xf numFmtId="0" fontId="2" fillId="4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7" borderId="0" xfId="0" applyFont="1" applyFill="1"/>
    <xf numFmtId="0" fontId="1" fillId="6" borderId="0" xfId="0" applyFont="1" applyFill="1" applyAlignment="1">
      <alignment horizontal="left"/>
    </xf>
    <xf numFmtId="0" fontId="1" fillId="9" borderId="0" xfId="0" applyFont="1" applyFill="1"/>
    <xf numFmtId="0" fontId="2" fillId="9" borderId="0" xfId="0" applyFont="1" applyFill="1"/>
    <xf numFmtId="0" fontId="0" fillId="9" borderId="0" xfId="0" applyFill="1"/>
    <xf numFmtId="0" fontId="0" fillId="10" borderId="0" xfId="0" applyFill="1"/>
    <xf numFmtId="0" fontId="1" fillId="10" borderId="0" xfId="0" applyFont="1" applyFill="1"/>
    <xf numFmtId="0" fontId="4" fillId="0" borderId="10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5" borderId="6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4" fillId="5" borderId="8" xfId="0" applyFont="1" applyFill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0" fillId="0" borderId="5" xfId="0" applyBorder="1"/>
    <xf numFmtId="0" fontId="0" fillId="0" borderId="6" xfId="0" applyBorder="1"/>
    <xf numFmtId="0" fontId="2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8" xfId="0" applyBorder="1"/>
    <xf numFmtId="0" fontId="0" fillId="11" borderId="0" xfId="0" applyFill="1"/>
    <xf numFmtId="0" fontId="0" fillId="11" borderId="0" xfId="0" applyFill="1" applyAlignment="1">
      <alignment horizontal="left"/>
    </xf>
    <xf numFmtId="0" fontId="4" fillId="5" borderId="13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0" fillId="5" borderId="9" xfId="0" applyFill="1" applyBorder="1"/>
    <xf numFmtId="0" fontId="0" fillId="5" borderId="3" xfId="0" applyFill="1" applyBorder="1"/>
    <xf numFmtId="0" fontId="5" fillId="5" borderId="11" xfId="0" applyFont="1" applyFill="1" applyBorder="1" applyAlignment="1">
      <alignment horizontal="center"/>
    </xf>
    <xf numFmtId="0" fontId="0" fillId="0" borderId="9" xfId="0" applyBorder="1"/>
    <xf numFmtId="0" fontId="4" fillId="5" borderId="14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7" xfId="0" applyFont="1" applyBorder="1" applyAlignment="1">
      <alignment horizont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abSelected="1" zoomScale="90" zoomScaleNormal="90" workbookViewId="0">
      <selection activeCell="D1" sqref="D1"/>
    </sheetView>
  </sheetViews>
  <sheetFormatPr defaultColWidth="9.109375" defaultRowHeight="14.4" x14ac:dyDescent="0.3"/>
  <cols>
    <col min="1" max="1" width="82.33203125" customWidth="1"/>
    <col min="2" max="2" width="56.109375" customWidth="1"/>
    <col min="3" max="3" width="49.5546875" customWidth="1"/>
    <col min="4" max="4" width="50.109375" customWidth="1"/>
    <col min="5" max="5" width="52.109375" customWidth="1"/>
    <col min="6" max="6" width="42.33203125" customWidth="1"/>
    <col min="7" max="7" width="46" customWidth="1"/>
    <col min="8" max="8" width="13.5546875" customWidth="1"/>
    <col min="9" max="9" width="21.44140625" customWidth="1"/>
    <col min="10" max="10" width="36" customWidth="1"/>
    <col min="11" max="11" width="23.109375" customWidth="1"/>
    <col min="12" max="12" width="27.33203125" customWidth="1"/>
    <col min="13" max="13" width="29.33203125" customWidth="1"/>
    <col min="14" max="14" width="31.5546875" customWidth="1"/>
    <col min="15" max="15" width="35.33203125" customWidth="1"/>
    <col min="16" max="16" width="48.6640625" customWidth="1"/>
    <col min="17" max="17" width="60.5546875" customWidth="1"/>
    <col min="18" max="18" width="20.109375" customWidth="1"/>
    <col min="26" max="27" width="9.109375" customWidth="1"/>
  </cols>
  <sheetData>
    <row r="1" spans="1:18" ht="21" customHeight="1" x14ac:dyDescent="0.45">
      <c r="B1" s="37" t="s">
        <v>0</v>
      </c>
      <c r="C1" s="38"/>
      <c r="D1" s="5"/>
      <c r="E1" s="8"/>
      <c r="F1" s="8"/>
      <c r="G1" s="8"/>
      <c r="H1" s="8"/>
      <c r="I1" s="8"/>
      <c r="J1" s="8"/>
      <c r="K1" s="8"/>
      <c r="L1" s="8"/>
      <c r="M1" s="8"/>
      <c r="N1" s="7"/>
      <c r="O1" s="7"/>
      <c r="P1" s="17"/>
      <c r="Q1" s="17"/>
      <c r="R1" s="17"/>
    </row>
    <row r="2" spans="1:18" ht="21" customHeight="1" x14ac:dyDescent="0.45">
      <c r="B2" s="37" t="s">
        <v>2</v>
      </c>
      <c r="C2" s="38"/>
      <c r="D2" s="5"/>
      <c r="E2" s="8"/>
      <c r="F2" s="8"/>
      <c r="G2" s="8"/>
      <c r="H2" s="8"/>
      <c r="I2" s="8"/>
      <c r="J2" s="8"/>
      <c r="K2" s="8"/>
      <c r="L2" s="8"/>
      <c r="M2" s="8"/>
      <c r="N2" s="7"/>
      <c r="O2" s="7"/>
      <c r="P2" s="17"/>
      <c r="Q2" s="17"/>
      <c r="R2" s="17"/>
    </row>
    <row r="3" spans="1:18" ht="21" customHeight="1" x14ac:dyDescent="0.45">
      <c r="B3" s="37" t="s">
        <v>3</v>
      </c>
      <c r="C3" s="38"/>
    </row>
    <row r="4" spans="1:18" ht="21" customHeight="1" x14ac:dyDescent="0.45">
      <c r="B4" s="46"/>
      <c r="C4" s="47"/>
    </row>
    <row r="5" spans="1:18" ht="21" customHeight="1" x14ac:dyDescent="0.4">
      <c r="A5" s="32"/>
    </row>
    <row r="6" spans="1:18" ht="26.25" customHeight="1" x14ac:dyDescent="0.5">
      <c r="B6" s="58" t="s">
        <v>4</v>
      </c>
      <c r="C6" s="59"/>
      <c r="D6" s="59"/>
      <c r="E6" s="60"/>
    </row>
    <row r="7" spans="1:18" ht="21" customHeight="1" x14ac:dyDescent="0.4">
      <c r="B7" s="57" t="s">
        <v>5</v>
      </c>
      <c r="C7" s="57" t="s">
        <v>6</v>
      </c>
      <c r="D7" s="57" t="s">
        <v>7</v>
      </c>
      <c r="E7" s="33" t="s">
        <v>8</v>
      </c>
    </row>
    <row r="8" spans="1:18" ht="21" customHeight="1" x14ac:dyDescent="0.4">
      <c r="A8" s="32" t="s">
        <v>9</v>
      </c>
      <c r="B8" s="56" t="s">
        <v>10</v>
      </c>
      <c r="C8" s="56" t="s">
        <v>11</v>
      </c>
      <c r="D8" s="56" t="s">
        <v>12</v>
      </c>
      <c r="E8" s="45" t="s">
        <v>13</v>
      </c>
    </row>
    <row r="9" spans="1:18" ht="21" customHeight="1" x14ac:dyDescent="0.4">
      <c r="A9" s="44" t="s">
        <v>14</v>
      </c>
      <c r="B9" s="39"/>
      <c r="C9" s="39"/>
      <c r="D9" s="39"/>
      <c r="E9" s="40"/>
    </row>
    <row r="10" spans="1:18" ht="21" customHeight="1" x14ac:dyDescent="0.4">
      <c r="A10" s="44" t="s">
        <v>15</v>
      </c>
      <c r="B10" s="39"/>
      <c r="C10" s="39"/>
      <c r="D10" s="39"/>
      <c r="E10" s="40"/>
    </row>
    <row r="11" spans="1:18" ht="21" customHeight="1" x14ac:dyDescent="0.4">
      <c r="A11" s="36" t="s">
        <v>16</v>
      </c>
      <c r="B11" s="39"/>
      <c r="C11" s="39"/>
      <c r="D11" s="39"/>
      <c r="E11" s="40"/>
    </row>
    <row r="12" spans="1:18" ht="21" customHeight="1" x14ac:dyDescent="0.4">
      <c r="A12" s="36" t="s">
        <v>17</v>
      </c>
      <c r="B12" s="39"/>
      <c r="C12" s="39"/>
      <c r="D12" s="39"/>
      <c r="E12" s="40"/>
    </row>
    <row r="13" spans="1:18" ht="21" customHeight="1" x14ac:dyDescent="0.4">
      <c r="A13" s="35" t="s">
        <v>18</v>
      </c>
      <c r="B13" s="39"/>
      <c r="C13" s="39"/>
      <c r="D13" s="39"/>
      <c r="E13" s="40"/>
    </row>
    <row r="14" spans="1:18" ht="21" customHeight="1" x14ac:dyDescent="0.4">
      <c r="A14" s="35" t="s">
        <v>19</v>
      </c>
      <c r="B14" s="39"/>
      <c r="C14" s="39"/>
      <c r="D14" s="39"/>
      <c r="E14" s="40"/>
    </row>
    <row r="15" spans="1:18" ht="21" customHeight="1" x14ac:dyDescent="0.4">
      <c r="A15" s="35" t="str">
        <f>IFERROR(VLOOKUP(B13,Lists!$K$2:$L$8,2,FALSE),"kVp")</f>
        <v>kVp</v>
      </c>
      <c r="B15" s="39"/>
      <c r="C15" s="39"/>
      <c r="D15" s="39"/>
      <c r="E15" s="40"/>
    </row>
    <row r="16" spans="1:18" ht="21" customHeight="1" x14ac:dyDescent="0.4">
      <c r="A16" s="35" t="str">
        <f>IF(AND($C$1="Siemens",OR($B$13="CarekV",$B$13="CarekV Semi"),$B$14="CareDose4D"),"Quality Reference mAs (QR mAs) &amp; Dose Optimization Setting",IF(AND($C$1="Siemens",$B$13="Off",$B$14="CareDose4D"),"Quality Reference mAs (QR mAs)",IF(AND(OR($C$1="Philips",$C$1="Siemens"),$B$13="Off",$B$14="Off"),"Effective mAs",IF(AND($C$1="Siemens",$B$13="Off",$B$14="CareDose"),"Effective mAs",IF(AND($C$1="General Electric",$B$13="kV Assist",$B$14="SmartmA"),"min mA/max mA &amp; Noise Index &amp; Clinical Mode",IFERROR(VLOOKUP($B$14,Lists!$N$2:$O$11,2,FALSE),"mAs"))))))</f>
        <v>mAs</v>
      </c>
      <c r="B16" s="39"/>
      <c r="C16" s="39"/>
      <c r="D16" s="39"/>
      <c r="E16" s="40"/>
    </row>
    <row r="17" spans="1:7" ht="21" customHeight="1" x14ac:dyDescent="0.4">
      <c r="A17" s="36" t="s">
        <v>21</v>
      </c>
      <c r="B17" s="39"/>
      <c r="C17" s="39"/>
      <c r="D17" s="39"/>
      <c r="E17" s="40"/>
    </row>
    <row r="18" spans="1:7" ht="21" customHeight="1" x14ac:dyDescent="0.4">
      <c r="A18" s="36" t="s">
        <v>22</v>
      </c>
      <c r="B18" s="39"/>
      <c r="C18" s="39"/>
      <c r="D18" s="39"/>
      <c r="E18" s="40"/>
      <c r="F18" s="17"/>
      <c r="G18" s="17"/>
    </row>
    <row r="19" spans="1:7" ht="21" customHeight="1" x14ac:dyDescent="0.4">
      <c r="A19" s="36" t="s">
        <v>23</v>
      </c>
      <c r="B19" s="39"/>
      <c r="C19" s="39"/>
      <c r="D19" s="39"/>
      <c r="E19" s="40"/>
      <c r="F19" s="17"/>
      <c r="G19" s="17"/>
    </row>
    <row r="20" spans="1:7" ht="21" customHeight="1" x14ac:dyDescent="0.4">
      <c r="A20" s="35" t="s">
        <v>24</v>
      </c>
      <c r="B20" s="39"/>
      <c r="C20" s="39"/>
      <c r="D20" s="39"/>
      <c r="E20" s="40"/>
    </row>
    <row r="21" spans="1:7" ht="21" customHeight="1" x14ac:dyDescent="0.4">
      <c r="A21" s="35" t="s">
        <v>25</v>
      </c>
      <c r="B21" s="39"/>
      <c r="C21" s="39"/>
      <c r="D21" s="39"/>
      <c r="E21" s="40"/>
    </row>
    <row r="22" spans="1:7" ht="21" customHeight="1" x14ac:dyDescent="0.4">
      <c r="A22" s="35" t="s">
        <v>26</v>
      </c>
      <c r="B22" s="39"/>
      <c r="C22" s="39"/>
      <c r="D22" s="39"/>
      <c r="E22" s="40"/>
    </row>
    <row r="23" spans="1:7" ht="21" customHeight="1" x14ac:dyDescent="0.4">
      <c r="A23" s="35" t="s">
        <v>27</v>
      </c>
      <c r="B23" s="39"/>
      <c r="C23" s="39"/>
      <c r="D23" s="39"/>
      <c r="E23" s="40"/>
    </row>
    <row r="24" spans="1:7" ht="21" customHeight="1" x14ac:dyDescent="0.4">
      <c r="A24" s="35" t="s">
        <v>28</v>
      </c>
      <c r="B24" s="39"/>
      <c r="C24" s="39"/>
      <c r="D24" s="39"/>
      <c r="E24" s="40"/>
    </row>
    <row r="25" spans="1:7" ht="21" customHeight="1" x14ac:dyDescent="0.4">
      <c r="A25" s="36" t="s">
        <v>130</v>
      </c>
      <c r="B25" s="41"/>
      <c r="C25" s="42"/>
      <c r="D25" s="42"/>
      <c r="E25" s="43"/>
    </row>
    <row r="26" spans="1:7" ht="18.75" customHeight="1" x14ac:dyDescent="0.35">
      <c r="A26" s="11"/>
    </row>
    <row r="27" spans="1:7" ht="18.75" customHeight="1" x14ac:dyDescent="0.35">
      <c r="A27" s="11"/>
    </row>
  </sheetData>
  <mergeCells count="1">
    <mergeCell ref="B6:E6"/>
  </mergeCells>
  <dataValidations count="3">
    <dataValidation type="list" allowBlank="1" sqref="C1" xr:uid="{00000000-0002-0000-0000-000000000000}">
      <formula1>CT_Manufacturers</formula1>
    </dataValidation>
    <dataValidation type="list" allowBlank="1" errorTitle="Invalid option" error="Select an item from the dropdown list." promptTitle="Automatic kVp Selection" prompt="This list changes based on the manufacturer selected in B1." sqref="B13:E13" xr:uid="{00000000-0002-0000-0000-000001000000}">
      <formula1>INDIRECT(SUBSTITUTE(SUBSTITUTE($C$1," ","_"),":",""))</formula1>
    </dataValidation>
    <dataValidation type="list" allowBlank="1" sqref="B23:E23" xr:uid="{00000000-0002-0000-0000-000002000000}">
      <formula1>"Non Contrast,IV,Oral,IV &amp; Oral Combined"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000-000003000000}">
          <x14:formula1>
            <xm:f>Lists!$M$2:$M$14</xm:f>
          </x14:formula1>
          <xm:sqref>C15:E15</xm:sqref>
        </x14:dataValidation>
        <x14:dataValidation type="list" allowBlank="1" xr:uid="{00000000-0002-0000-0000-000004000000}">
          <x14:formula1>
            <xm:f>Lists!$A$9:$A$11</xm:f>
          </x14:formula1>
          <xm:sqref>B11:E11</xm:sqref>
        </x14:dataValidation>
        <x14:dataValidation type="list" allowBlank="1" xr:uid="{00000000-0002-0000-0000-000005000000}">
          <x14:formula1>
            <xm:f>OFFSET(Lists!$R$2, MATCH($C$1, Lists!$Q$2:$Q$5, 0)-1, 0, 1, 6)</xm:f>
          </x14:formula1>
          <xm:sqref>B21:E21</xm:sqref>
        </x14:dataValidation>
        <x14:dataValidation type="list" allowBlank="1" xr:uid="{00000000-0002-0000-0000-000006000000}">
          <x14:formula1>
            <xm:f>OFFSET(Lists!$G$2, MATCH($C$1, Lists!$F$2:$F$6, 0)-1, 0, 1, 4)</xm:f>
          </x14:formula1>
          <xm:sqref>B14:E14</xm:sqref>
        </x14:dataValidation>
        <x14:dataValidation type="list" allowBlank="1" xr:uid="{00000000-0002-0000-0000-000007000000}">
          <x14:formula1>
            <xm:f>Lists!$AE$2:$AE$6</xm:f>
          </x14:formula1>
          <xm:sqref>B24:E24</xm:sqref>
        </x14:dataValidation>
        <x14:dataValidation type="list" allowBlank="1" xr:uid="{00000000-0002-0000-0000-000008000000}">
          <x14:formula1>
            <xm:f>OFFSET(Lists!$Y$2, MATCH($C$1, Lists!$X$2:$X$5, 0)-1, 0, 1, 6)</xm:f>
          </x14:formula1>
          <xm:sqref>B22:E22</xm:sqref>
        </x14:dataValidation>
        <x14:dataValidation type="list" allowBlank="1" xr:uid="{00000000-0002-0000-0000-000009000000}">
          <x14:formula1>
            <xm:f>Lists!$P$2:$P$9</xm:f>
          </x14:formula1>
          <xm:sqref>B20:E20</xm:sqref>
        </x14:dataValidation>
        <x14:dataValidation type="list" allowBlank="1" xr:uid="{00000000-0002-0000-0000-00000A000000}">
          <x14:formula1>
            <xm:f>Lists!$C$9:$C$11</xm:f>
          </x14:formula1>
          <xm:sqref>B12:E12</xm:sqref>
        </x14:dataValidation>
        <x14:dataValidation type="list" allowBlank="1" xr:uid="{00000000-0002-0000-0000-00000B000000}">
          <x14:formula1>
            <xm:f>Lists!$M$2:$M$14</xm:f>
          </x14:formula1>
          <xm:sqref>B15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7"/>
  <sheetViews>
    <sheetView zoomScale="90" zoomScaleNormal="90" workbookViewId="0">
      <selection activeCell="A25" sqref="A25"/>
    </sheetView>
  </sheetViews>
  <sheetFormatPr defaultColWidth="9.109375" defaultRowHeight="14.4" x14ac:dyDescent="0.3"/>
  <cols>
    <col min="1" max="1" width="82.33203125" customWidth="1"/>
    <col min="2" max="2" width="56.109375" customWidth="1"/>
    <col min="3" max="3" width="49.5546875" customWidth="1"/>
    <col min="4" max="4" width="53.33203125" customWidth="1"/>
    <col min="5" max="5" width="52.109375" customWidth="1"/>
    <col min="6" max="6" width="60" customWidth="1"/>
    <col min="7" max="7" width="46" customWidth="1"/>
    <col min="8" max="8" width="13.5546875" customWidth="1"/>
    <col min="9" max="9" width="21.44140625" customWidth="1"/>
    <col min="10" max="10" width="36" customWidth="1"/>
    <col min="11" max="11" width="23.109375" customWidth="1"/>
    <col min="12" max="12" width="27.33203125" customWidth="1"/>
    <col min="13" max="13" width="29.33203125" customWidth="1"/>
    <col min="14" max="14" width="31.5546875" customWidth="1"/>
    <col min="15" max="15" width="35.33203125" customWidth="1"/>
    <col min="16" max="16" width="48.6640625" customWidth="1"/>
    <col min="17" max="17" width="60.5546875" customWidth="1"/>
    <col min="18" max="18" width="20.109375" customWidth="1"/>
    <col min="26" max="27" width="9.109375" customWidth="1"/>
  </cols>
  <sheetData>
    <row r="1" spans="1:18" ht="21" customHeight="1" x14ac:dyDescent="0.45">
      <c r="B1" s="37" t="s">
        <v>0</v>
      </c>
      <c r="C1" s="38"/>
      <c r="D1" s="5"/>
      <c r="E1" s="8"/>
      <c r="F1" s="8"/>
      <c r="G1" s="8"/>
      <c r="H1" s="8"/>
      <c r="I1" s="8"/>
      <c r="J1" s="8"/>
      <c r="K1" s="8"/>
      <c r="L1" s="8"/>
      <c r="M1" s="8"/>
      <c r="N1" s="7"/>
      <c r="O1" s="7"/>
      <c r="P1" s="17"/>
      <c r="Q1" s="17"/>
      <c r="R1" s="17"/>
    </row>
    <row r="2" spans="1:18" ht="21" customHeight="1" x14ac:dyDescent="0.45">
      <c r="B2" s="37" t="s">
        <v>2</v>
      </c>
      <c r="C2" s="38"/>
      <c r="D2" s="5"/>
      <c r="E2" s="8"/>
      <c r="F2" s="8"/>
      <c r="G2" s="8"/>
      <c r="H2" s="8"/>
      <c r="I2" s="8"/>
      <c r="J2" s="8"/>
      <c r="K2" s="8"/>
      <c r="L2" s="8"/>
      <c r="M2" s="8"/>
      <c r="N2" s="7"/>
      <c r="O2" s="7"/>
      <c r="P2" s="17"/>
      <c r="Q2" s="17"/>
      <c r="R2" s="17"/>
    </row>
    <row r="3" spans="1:18" ht="21" customHeight="1" x14ac:dyDescent="0.45">
      <c r="B3" s="37" t="s">
        <v>3</v>
      </c>
      <c r="C3" s="38"/>
    </row>
    <row r="4" spans="1:18" ht="21" customHeight="1" x14ac:dyDescent="0.45">
      <c r="B4" s="46"/>
      <c r="C4" s="47"/>
    </row>
    <row r="5" spans="1:18" ht="21" customHeight="1" x14ac:dyDescent="0.5">
      <c r="A5" s="32"/>
      <c r="B5" s="61" t="s">
        <v>125</v>
      </c>
      <c r="C5" s="59"/>
      <c r="D5" s="59"/>
      <c r="E5" s="59"/>
      <c r="F5" s="62"/>
    </row>
    <row r="6" spans="1:18" ht="26.25" customHeight="1" x14ac:dyDescent="0.4">
      <c r="B6" s="57" t="s">
        <v>5</v>
      </c>
      <c r="C6" s="57" t="s">
        <v>6</v>
      </c>
      <c r="D6" s="57" t="s">
        <v>7</v>
      </c>
      <c r="E6" s="57" t="s">
        <v>8</v>
      </c>
      <c r="F6" s="34" t="s">
        <v>29</v>
      </c>
    </row>
    <row r="7" spans="1:18" ht="21" customHeight="1" x14ac:dyDescent="0.4">
      <c r="B7" s="55" t="s">
        <v>30</v>
      </c>
      <c r="C7" s="55" t="s">
        <v>31</v>
      </c>
      <c r="D7" s="55" t="s">
        <v>32</v>
      </c>
      <c r="E7" s="55" t="s">
        <v>33</v>
      </c>
      <c r="F7" s="33" t="s">
        <v>34</v>
      </c>
    </row>
    <row r="8" spans="1:18" ht="21" customHeight="1" x14ac:dyDescent="0.4">
      <c r="A8" s="31" t="s">
        <v>35</v>
      </c>
      <c r="B8" s="56" t="s">
        <v>36</v>
      </c>
      <c r="C8" s="56" t="s">
        <v>37</v>
      </c>
      <c r="D8" s="56" t="s">
        <v>38</v>
      </c>
      <c r="E8" s="56" t="s">
        <v>39</v>
      </c>
      <c r="F8" s="45" t="s">
        <v>40</v>
      </c>
    </row>
    <row r="9" spans="1:18" ht="21" customHeight="1" x14ac:dyDescent="0.4">
      <c r="A9" s="44" t="s">
        <v>14</v>
      </c>
      <c r="B9" s="39"/>
      <c r="C9" s="39"/>
      <c r="D9" s="39"/>
      <c r="E9" s="51"/>
      <c r="F9" s="48"/>
    </row>
    <row r="10" spans="1:18" ht="21" customHeight="1" x14ac:dyDescent="0.4">
      <c r="A10" s="44" t="s">
        <v>15</v>
      </c>
      <c r="B10" s="39"/>
      <c r="C10" s="39"/>
      <c r="D10" s="39"/>
      <c r="E10" s="39"/>
      <c r="F10" s="49"/>
    </row>
    <row r="11" spans="1:18" ht="21" customHeight="1" x14ac:dyDescent="0.4">
      <c r="A11" s="36" t="s">
        <v>16</v>
      </c>
      <c r="B11" s="39"/>
      <c r="C11" s="39"/>
      <c r="D11" s="39"/>
      <c r="E11" s="39"/>
      <c r="F11" s="40"/>
    </row>
    <row r="12" spans="1:18" ht="21" customHeight="1" x14ac:dyDescent="0.4">
      <c r="A12" s="36" t="s">
        <v>17</v>
      </c>
      <c r="B12" s="39"/>
      <c r="C12" s="39"/>
      <c r="D12" s="39"/>
      <c r="E12" s="39"/>
      <c r="F12" s="40"/>
    </row>
    <row r="13" spans="1:18" ht="21" customHeight="1" x14ac:dyDescent="0.4">
      <c r="A13" s="35" t="s">
        <v>18</v>
      </c>
      <c r="B13" s="39"/>
      <c r="C13" s="39"/>
      <c r="D13" s="39"/>
      <c r="E13" s="39"/>
      <c r="F13" s="40"/>
    </row>
    <row r="14" spans="1:18" ht="21" customHeight="1" x14ac:dyDescent="0.4">
      <c r="A14" s="35" t="s">
        <v>19</v>
      </c>
      <c r="B14" s="39"/>
      <c r="C14" s="39"/>
      <c r="D14" s="39"/>
      <c r="E14" s="39"/>
      <c r="F14" s="40"/>
    </row>
    <row r="15" spans="1:18" ht="21" customHeight="1" x14ac:dyDescent="0.4">
      <c r="A15" s="35" t="str">
        <f>IFERROR(VLOOKUP(B13,Lists!$K$2:$L$8,2,FALSE),"kVp")</f>
        <v>kVp</v>
      </c>
      <c r="B15" s="39"/>
      <c r="C15" s="39"/>
      <c r="D15" s="39"/>
      <c r="E15" s="39"/>
      <c r="F15" s="40"/>
    </row>
    <row r="16" spans="1:18" ht="21" customHeight="1" x14ac:dyDescent="0.4">
      <c r="A16" s="35" t="str">
        <f>IF(AND($C$1="Siemens",OR($B$13="CarekV",$B$13="CarekV Semi"),$B$14="CareDose4D"),"Quality Reference mAs (QR mAs) &amp; Dose Optimization Setting",IF(AND($C$1="Siemens",$B$13="Off",$B$14="CareDose4D"),"Quality Reference mAs (QR mAs)",IF(AND(OR($C$1="Philips",$C$1="Siemens"),$B$13="Off",$B$14="Off"),"Effective mAs",IF(AND($C$1="Siemens",$B$13="Off",$B$14="CareDose"),"Effective mAs",IF(AND($C$1="General Electric",$B$13="kV Assist",$B$14="SmartmA"),"min mA/max mA &amp; Noise Index &amp; Clinical Mode",IFERROR(VLOOKUP($B$14,Lists!$N$2:$O$11,2,FALSE),"mAs"))))))</f>
        <v>mAs</v>
      </c>
      <c r="B16" s="39"/>
      <c r="C16" s="39"/>
      <c r="D16" s="39"/>
      <c r="E16" s="39"/>
      <c r="F16" s="40"/>
    </row>
    <row r="17" spans="1:7" ht="21" customHeight="1" x14ac:dyDescent="0.4">
      <c r="A17" s="36" t="s">
        <v>21</v>
      </c>
      <c r="B17" s="39"/>
      <c r="C17" s="39"/>
      <c r="D17" s="39"/>
      <c r="E17" s="39"/>
      <c r="F17" s="49"/>
    </row>
    <row r="18" spans="1:7" ht="21" customHeight="1" x14ac:dyDescent="0.4">
      <c r="A18" s="36" t="s">
        <v>22</v>
      </c>
      <c r="B18" s="39"/>
      <c r="C18" s="39"/>
      <c r="D18" s="39"/>
      <c r="E18" s="39"/>
      <c r="F18" s="50"/>
      <c r="G18" s="17"/>
    </row>
    <row r="19" spans="1:7" ht="21" customHeight="1" x14ac:dyDescent="0.4">
      <c r="A19" s="36" t="s">
        <v>23</v>
      </c>
      <c r="B19" s="39"/>
      <c r="C19" s="39"/>
      <c r="D19" s="39"/>
      <c r="E19" s="39"/>
      <c r="F19" s="50"/>
      <c r="G19" s="17"/>
    </row>
    <row r="20" spans="1:7" ht="21" customHeight="1" x14ac:dyDescent="0.4">
      <c r="A20" s="35" t="s">
        <v>24</v>
      </c>
      <c r="B20" s="39"/>
      <c r="C20" s="39"/>
      <c r="D20" s="39"/>
      <c r="E20" s="39"/>
      <c r="F20" s="40"/>
    </row>
    <row r="21" spans="1:7" ht="21" customHeight="1" x14ac:dyDescent="0.4">
      <c r="A21" s="35" t="s">
        <v>25</v>
      </c>
      <c r="B21" s="39"/>
      <c r="C21" s="39"/>
      <c r="D21" s="39"/>
      <c r="E21" s="39"/>
      <c r="F21" s="40"/>
    </row>
    <row r="22" spans="1:7" ht="21" customHeight="1" x14ac:dyDescent="0.4">
      <c r="A22" s="35" t="s">
        <v>26</v>
      </c>
      <c r="B22" s="39"/>
      <c r="C22" s="39"/>
      <c r="D22" s="39"/>
      <c r="E22" s="39"/>
      <c r="F22" s="40"/>
    </row>
    <row r="23" spans="1:7" ht="21" customHeight="1" x14ac:dyDescent="0.4">
      <c r="A23" s="35" t="s">
        <v>27</v>
      </c>
      <c r="B23" s="39"/>
      <c r="C23" s="39"/>
      <c r="D23" s="39"/>
      <c r="E23" s="39"/>
      <c r="F23" s="40"/>
    </row>
    <row r="24" spans="1:7" ht="21" customHeight="1" x14ac:dyDescent="0.4">
      <c r="A24" s="35" t="s">
        <v>28</v>
      </c>
      <c r="B24" s="39"/>
      <c r="C24" s="39"/>
      <c r="D24" s="39"/>
      <c r="E24" s="39"/>
      <c r="F24" s="40"/>
    </row>
    <row r="25" spans="1:7" ht="21" customHeight="1" x14ac:dyDescent="0.4">
      <c r="A25" s="36" t="s">
        <v>130</v>
      </c>
      <c r="B25" s="41"/>
      <c r="C25" s="42"/>
      <c r="D25" s="42"/>
      <c r="E25" s="42"/>
      <c r="F25" s="52"/>
    </row>
    <row r="26" spans="1:7" ht="18.75" customHeight="1" x14ac:dyDescent="0.35">
      <c r="A26" s="11"/>
    </row>
    <row r="27" spans="1:7" ht="18.75" customHeight="1" x14ac:dyDescent="0.35">
      <c r="A27" s="11"/>
    </row>
  </sheetData>
  <mergeCells count="1">
    <mergeCell ref="B5:F5"/>
  </mergeCells>
  <dataValidations count="3">
    <dataValidation type="list" allowBlank="1" errorTitle="Invalid option" error="Select an item from the dropdown list." promptTitle="Automatic kVp Selection" prompt="This list changes based on the manufacturer selected in B1." sqref="B13:F13" xr:uid="{00000000-0002-0000-0100-000000000000}">
      <formula1>INDIRECT(SUBSTITUTE(SUBSTITUTE($C$1," ","_"),":",""))</formula1>
    </dataValidation>
    <dataValidation type="list" allowBlank="1" sqref="C1" xr:uid="{00000000-0002-0000-0100-000001000000}">
      <formula1>CT_Manufacturers</formula1>
    </dataValidation>
    <dataValidation type="list" allowBlank="1" sqref="B23:F23" xr:uid="{00000000-0002-0000-0100-000002000000}">
      <formula1>"Non Contrast,IV,Oral,IV &amp; Oral Combined"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xr:uid="{00000000-0002-0000-0100-000003000000}">
          <x14:formula1>
            <xm:f>OFFSET(Lists!$G$2, MATCH($C$1, Lists!$F$2:$F$6, 0)-1, 0, 1, 4)</xm:f>
          </x14:formula1>
          <xm:sqref>B14:F14</xm:sqref>
        </x14:dataValidation>
        <x14:dataValidation type="list" allowBlank="1" xr:uid="{00000000-0002-0000-0100-000004000000}">
          <x14:formula1>
            <xm:f>OFFSET(Lists!$R$2, MATCH($C$1, Lists!$Q$2:$Q$5, 0)-1, 0, 1, 6)</xm:f>
          </x14:formula1>
          <xm:sqref>B21:F21</xm:sqref>
        </x14:dataValidation>
        <x14:dataValidation type="list" allowBlank="1" showInputMessage="1" showErrorMessage="1" xr:uid="{00000000-0002-0000-0100-000005000000}">
          <x14:formula1>
            <xm:f>Lists!$C$9:$C$11</xm:f>
          </x14:formula1>
          <xm:sqref>B12:F12</xm:sqref>
        </x14:dataValidation>
        <x14:dataValidation type="list" allowBlank="1" xr:uid="{00000000-0002-0000-0100-000006000000}">
          <x14:formula1>
            <xm:f>Lists!$A$12:$A$17</xm:f>
          </x14:formula1>
          <xm:sqref>B11:F11</xm:sqref>
        </x14:dataValidation>
        <x14:dataValidation type="list" allowBlank="1" xr:uid="{00000000-0002-0000-0100-000007000000}">
          <x14:formula1>
            <xm:f>Lists!$AE$2:$AE$6</xm:f>
          </x14:formula1>
          <xm:sqref>B24:F24</xm:sqref>
        </x14:dataValidation>
        <x14:dataValidation type="list" allowBlank="1" xr:uid="{00000000-0002-0000-0100-000008000000}">
          <x14:formula1>
            <xm:f>OFFSET(Lists!$Y$2, MATCH($C$1, Lists!$X$2:$X$5, 0)-1, 0, 1, 6)</xm:f>
          </x14:formula1>
          <xm:sqref>B22:F22</xm:sqref>
        </x14:dataValidation>
        <x14:dataValidation type="list" allowBlank="1" xr:uid="{00000000-0002-0000-0100-000009000000}">
          <x14:formula1>
            <xm:f>Lists!$P$2:$P$9</xm:f>
          </x14:formula1>
          <xm:sqref>B20:F20</xm:sqref>
        </x14:dataValidation>
        <x14:dataValidation type="list" allowBlank="1" xr:uid="{00000000-0002-0000-0100-00000A000000}">
          <x14:formula1>
            <xm:f>Lists!$M$2:$M$14</xm:f>
          </x14:formula1>
          <xm:sqref>B15:F15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zoomScale="90" zoomScaleNormal="90" workbookViewId="0">
      <selection activeCell="B5" sqref="B5:C5"/>
    </sheetView>
  </sheetViews>
  <sheetFormatPr defaultColWidth="9.109375" defaultRowHeight="14.4" x14ac:dyDescent="0.3"/>
  <cols>
    <col min="1" max="1" width="82.33203125" customWidth="1"/>
    <col min="2" max="2" width="56.109375" customWidth="1"/>
    <col min="3" max="3" width="31.5546875" customWidth="1"/>
    <col min="4" max="4" width="53.33203125" customWidth="1"/>
    <col min="5" max="5" width="52.109375" customWidth="1"/>
    <col min="6" max="6" width="60" customWidth="1"/>
    <col min="7" max="7" width="46" customWidth="1"/>
    <col min="8" max="8" width="13.5546875" customWidth="1"/>
    <col min="9" max="9" width="21.44140625" customWidth="1"/>
    <col min="10" max="10" width="36" customWidth="1"/>
    <col min="11" max="11" width="23.109375" customWidth="1"/>
    <col min="12" max="12" width="27.33203125" customWidth="1"/>
    <col min="13" max="13" width="29.33203125" customWidth="1"/>
    <col min="14" max="14" width="31.5546875" customWidth="1"/>
    <col min="15" max="15" width="35.33203125" customWidth="1"/>
    <col min="16" max="16" width="48.6640625" customWidth="1"/>
    <col min="17" max="17" width="60.5546875" customWidth="1"/>
    <col min="18" max="18" width="20.109375" customWidth="1"/>
    <col min="26" max="27" width="9.109375" customWidth="1"/>
  </cols>
  <sheetData>
    <row r="1" spans="1:18" ht="21" customHeight="1" x14ac:dyDescent="0.45">
      <c r="B1" s="37" t="s">
        <v>0</v>
      </c>
      <c r="C1" s="38"/>
      <c r="D1" s="5"/>
      <c r="E1" s="8"/>
      <c r="F1" s="8"/>
      <c r="G1" s="8"/>
      <c r="H1" s="8"/>
      <c r="I1" s="8"/>
      <c r="J1" s="8"/>
      <c r="K1" s="8"/>
      <c r="L1" s="8"/>
      <c r="M1" s="8"/>
      <c r="N1" s="7"/>
      <c r="O1" s="7"/>
      <c r="P1" s="17"/>
      <c r="Q1" s="17"/>
      <c r="R1" s="17"/>
    </row>
    <row r="2" spans="1:18" ht="21" customHeight="1" x14ac:dyDescent="0.45">
      <c r="B2" s="37" t="s">
        <v>2</v>
      </c>
      <c r="C2" s="38"/>
      <c r="D2" s="5"/>
      <c r="E2" s="8"/>
      <c r="F2" s="8"/>
      <c r="G2" s="8"/>
      <c r="H2" s="8"/>
      <c r="I2" s="8"/>
      <c r="J2" s="8"/>
      <c r="K2" s="8"/>
      <c r="L2" s="8"/>
      <c r="M2" s="8"/>
      <c r="N2" s="7"/>
      <c r="O2" s="7"/>
      <c r="P2" s="17"/>
      <c r="Q2" s="17"/>
      <c r="R2" s="17"/>
    </row>
    <row r="3" spans="1:18" ht="21" customHeight="1" x14ac:dyDescent="0.45">
      <c r="B3" s="37" t="s">
        <v>3</v>
      </c>
      <c r="C3" s="38"/>
    </row>
    <row r="4" spans="1:18" ht="21" customHeight="1" x14ac:dyDescent="0.45">
      <c r="B4" s="46"/>
      <c r="C4" s="47"/>
    </row>
    <row r="5" spans="1:18" ht="21" customHeight="1" x14ac:dyDescent="0.5">
      <c r="B5" s="61" t="s">
        <v>131</v>
      </c>
      <c r="C5" s="65"/>
    </row>
    <row r="6" spans="1:18" ht="26.25" customHeight="1" x14ac:dyDescent="0.4">
      <c r="B6" s="63" t="s">
        <v>126</v>
      </c>
      <c r="C6" s="64"/>
      <c r="D6" s="39"/>
      <c r="E6" s="39"/>
      <c r="F6" s="39"/>
    </row>
    <row r="7" spans="1:18" ht="21" customHeight="1" x14ac:dyDescent="0.4">
      <c r="B7" s="63" t="s">
        <v>127</v>
      </c>
      <c r="C7" s="64"/>
      <c r="D7" s="39"/>
      <c r="E7" s="39"/>
      <c r="F7" s="39"/>
    </row>
    <row r="8" spans="1:18" ht="21" customHeight="1" x14ac:dyDescent="0.4">
      <c r="A8" s="31" t="s">
        <v>35</v>
      </c>
      <c r="B8" s="67" t="s">
        <v>128</v>
      </c>
      <c r="C8" s="68"/>
      <c r="D8" s="39"/>
      <c r="E8" s="39"/>
      <c r="F8" s="39"/>
    </row>
    <row r="9" spans="1:18" ht="21" customHeight="1" x14ac:dyDescent="0.4">
      <c r="A9" s="44" t="s">
        <v>14</v>
      </c>
      <c r="B9" s="66"/>
      <c r="C9" s="64"/>
      <c r="D9" s="39"/>
      <c r="E9" s="39"/>
    </row>
    <row r="10" spans="1:18" ht="21" customHeight="1" x14ac:dyDescent="0.4">
      <c r="A10" s="44" t="s">
        <v>15</v>
      </c>
      <c r="B10" s="66"/>
      <c r="C10" s="64"/>
      <c r="D10" s="39"/>
      <c r="E10" s="39"/>
    </row>
    <row r="11" spans="1:18" ht="21" customHeight="1" x14ac:dyDescent="0.4">
      <c r="A11" s="36" t="s">
        <v>16</v>
      </c>
      <c r="B11" s="66"/>
      <c r="C11" s="64"/>
      <c r="D11" s="39"/>
      <c r="E11" s="39"/>
      <c r="F11" s="39"/>
    </row>
    <row r="12" spans="1:18" ht="21" customHeight="1" x14ac:dyDescent="0.4">
      <c r="A12" s="36" t="s">
        <v>17</v>
      </c>
      <c r="B12" s="66"/>
      <c r="C12" s="64"/>
      <c r="D12" s="39"/>
      <c r="E12" s="39"/>
      <c r="F12" s="39"/>
    </row>
    <row r="13" spans="1:18" ht="21" customHeight="1" x14ac:dyDescent="0.4">
      <c r="A13" s="35" t="s">
        <v>18</v>
      </c>
      <c r="B13" s="66"/>
      <c r="C13" s="64"/>
      <c r="D13" s="39"/>
      <c r="E13" s="39"/>
      <c r="F13" s="39"/>
    </row>
    <row r="14" spans="1:18" ht="21" customHeight="1" x14ac:dyDescent="0.4">
      <c r="A14" s="35" t="s">
        <v>19</v>
      </c>
      <c r="B14" s="66"/>
      <c r="C14" s="64"/>
      <c r="D14" s="39"/>
      <c r="E14" s="39"/>
      <c r="F14" s="39"/>
    </row>
    <row r="15" spans="1:18" ht="21" customHeight="1" x14ac:dyDescent="0.4">
      <c r="A15" s="35" t="str">
        <f>IFERROR(VLOOKUP(B13,Lists!$K$2:$L$8,2,FALSE),"kVp")</f>
        <v>kVp</v>
      </c>
      <c r="B15" s="66"/>
      <c r="C15" s="64"/>
      <c r="D15" s="39"/>
      <c r="E15" s="39"/>
      <c r="F15" s="39"/>
    </row>
    <row r="16" spans="1:18" ht="21" customHeight="1" x14ac:dyDescent="0.4">
      <c r="A16" s="35" t="str">
        <f>IF(AND($C$1="Siemens",OR($B$13="CarekV",$B$13="CarekV Semi"),$B$14="CareDose4D"),"Quality Reference mAs (QR mAs) &amp; Dose Optimization Setting",IF(AND($C$1="Siemens",$B$13="Off",$B$14="CareDose4D"),"Quality Reference mAs (QR mAs)",IF(AND(OR($C$1="Philips",$C$1="Siemens"),$B$13="Off",$B$14="Off"),"Effective mAs",IF(AND($C$1="Siemens",$B$13="Off",$B$14="CareDose"),"Effective mAs",IF(AND($C$1="General Electric",$B$13="kV Assist",$B$14="SmartmA"),"min mA/max mA &amp; Noise Index &amp; Clinical Mode",IFERROR(VLOOKUP($B$14,Lists!$N$2:$O$11,2,FALSE),"mAs"))))))</f>
        <v>mAs</v>
      </c>
      <c r="B16" s="66"/>
      <c r="C16" s="64"/>
      <c r="D16" s="39"/>
      <c r="E16" s="39"/>
      <c r="F16" s="39"/>
    </row>
    <row r="17" spans="1:7" ht="21" customHeight="1" x14ac:dyDescent="0.4">
      <c r="A17" s="36" t="s">
        <v>21</v>
      </c>
      <c r="B17" s="66"/>
      <c r="C17" s="64"/>
      <c r="D17" s="39"/>
      <c r="E17" s="39"/>
    </row>
    <row r="18" spans="1:7" ht="21" customHeight="1" x14ac:dyDescent="0.4">
      <c r="A18" s="36" t="s">
        <v>22</v>
      </c>
      <c r="B18" s="66"/>
      <c r="C18" s="64"/>
      <c r="D18" s="39"/>
      <c r="E18" s="39"/>
      <c r="F18" s="17"/>
      <c r="G18" s="17"/>
    </row>
    <row r="19" spans="1:7" ht="21" customHeight="1" x14ac:dyDescent="0.4">
      <c r="A19" s="36" t="s">
        <v>23</v>
      </c>
      <c r="B19" s="66"/>
      <c r="C19" s="64"/>
      <c r="D19" s="39"/>
      <c r="E19" s="39"/>
      <c r="F19" s="17"/>
      <c r="G19" s="17"/>
    </row>
    <row r="20" spans="1:7" ht="21" customHeight="1" x14ac:dyDescent="0.4">
      <c r="A20" s="35" t="s">
        <v>24</v>
      </c>
      <c r="B20" s="66"/>
      <c r="C20" s="64"/>
      <c r="D20" s="39"/>
      <c r="E20" s="39"/>
      <c r="F20" s="39"/>
    </row>
    <row r="21" spans="1:7" ht="21" customHeight="1" x14ac:dyDescent="0.4">
      <c r="A21" s="35" t="s">
        <v>25</v>
      </c>
      <c r="B21" s="66"/>
      <c r="C21" s="64"/>
      <c r="D21" s="39"/>
      <c r="E21" s="39"/>
      <c r="F21" s="39"/>
    </row>
    <row r="22" spans="1:7" ht="21" customHeight="1" x14ac:dyDescent="0.4">
      <c r="A22" s="35" t="s">
        <v>26</v>
      </c>
      <c r="B22" s="66"/>
      <c r="C22" s="64"/>
      <c r="D22" s="39"/>
      <c r="E22" s="39"/>
      <c r="F22" s="39"/>
    </row>
    <row r="23" spans="1:7" ht="21" customHeight="1" x14ac:dyDescent="0.4">
      <c r="A23" s="35" t="s">
        <v>27</v>
      </c>
      <c r="B23" s="66"/>
      <c r="C23" s="64"/>
      <c r="D23" s="39"/>
      <c r="E23" s="39"/>
      <c r="F23" s="39"/>
    </row>
    <row r="24" spans="1:7" ht="21" customHeight="1" x14ac:dyDescent="0.4">
      <c r="A24" s="35" t="s">
        <v>28</v>
      </c>
      <c r="B24" s="66"/>
      <c r="C24" s="64"/>
      <c r="D24" s="39"/>
      <c r="E24" s="39"/>
      <c r="F24" s="39"/>
    </row>
    <row r="25" spans="1:7" ht="21" customHeight="1" x14ac:dyDescent="0.4">
      <c r="A25" s="36" t="s">
        <v>130</v>
      </c>
      <c r="B25" s="69"/>
      <c r="C25" s="68"/>
      <c r="D25" s="39"/>
      <c r="E25" s="39"/>
    </row>
    <row r="26" spans="1:7" ht="18.75" customHeight="1" x14ac:dyDescent="0.35">
      <c r="A26" s="11"/>
    </row>
    <row r="27" spans="1:7" ht="18.75" customHeight="1" x14ac:dyDescent="0.35">
      <c r="A27" s="11"/>
    </row>
  </sheetData>
  <mergeCells count="21">
    <mergeCell ref="B25:C25"/>
    <mergeCell ref="B20:C20"/>
    <mergeCell ref="B14:C14"/>
    <mergeCell ref="B24:C24"/>
    <mergeCell ref="B23:C23"/>
    <mergeCell ref="B22:C22"/>
    <mergeCell ref="B21:C21"/>
    <mergeCell ref="B19:C19"/>
    <mergeCell ref="B18:C18"/>
    <mergeCell ref="B17:C17"/>
    <mergeCell ref="B16:C16"/>
    <mergeCell ref="B15:C15"/>
    <mergeCell ref="B7:C7"/>
    <mergeCell ref="B6:C6"/>
    <mergeCell ref="B5:C5"/>
    <mergeCell ref="B13:C13"/>
    <mergeCell ref="B12:C12"/>
    <mergeCell ref="B11:C11"/>
    <mergeCell ref="B10:C10"/>
    <mergeCell ref="B9:C9"/>
    <mergeCell ref="B8:C8"/>
  </mergeCells>
  <dataValidations count="4">
    <dataValidation type="list" allowBlank="1" showInputMessage="1" showErrorMessage="1" sqref="D23:F23" xr:uid="{00000000-0002-0000-0200-000000000000}">
      <formula1>"Non Contrast,IV,Oral,IV &amp; Oral Combined"</formula1>
    </dataValidation>
    <dataValidation type="list" allowBlank="1" sqref="C1" xr:uid="{00000000-0002-0000-0200-000001000000}">
      <formula1>CT_Manufacturers</formula1>
    </dataValidation>
    <dataValidation type="list" allowBlank="1" errorTitle="Invalid option" error="Select an item from the dropdown list." promptTitle="Automatic kVp Selection" prompt="This list changes based on the manufacturer selected in B1." sqref="B13 D13:F13" xr:uid="{00000000-0002-0000-0200-000002000000}">
      <formula1>INDIRECT(SUBSTITUTE(SUBSTITUTE($C$1," ","_"),":",""))</formula1>
    </dataValidation>
    <dataValidation type="list" allowBlank="1" sqref="B23" xr:uid="{00000000-0002-0000-0200-000003000000}">
      <formula1>"Non Contrast,IV,Oral,IV &amp; Oral Combined"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xr:uid="{00000000-0002-0000-0200-000004000000}">
          <x14:formula1>
            <xm:f>Lists!$AE$2:$AE$6</xm:f>
          </x14:formula1>
          <xm:sqref>B24 D24:F24</xm:sqref>
        </x14:dataValidation>
        <x14:dataValidation type="list" allowBlank="1" showInputMessage="1" showErrorMessage="1" xr:uid="{00000000-0002-0000-0200-000005000000}">
          <x14:formula1>
            <xm:f>Lists!$M$2:$M$14</xm:f>
          </x14:formula1>
          <xm:sqref>B15 D15:F15</xm:sqref>
        </x14:dataValidation>
        <x14:dataValidation type="list" allowBlank="1" showInputMessage="1" showErrorMessage="1" xr:uid="{00000000-0002-0000-0200-000006000000}">
          <x14:formula1>
            <xm:f>Lists!$P$2:$P$9</xm:f>
          </x14:formula1>
          <xm:sqref>D20:F20</xm:sqref>
        </x14:dataValidation>
        <x14:dataValidation type="list" allowBlank="1" showInputMessage="1" showErrorMessage="1" xr:uid="{00000000-0002-0000-0200-000007000000}">
          <x14:formula1>
            <xm:f>Lists!$C$9:$C$11</xm:f>
          </x14:formula1>
          <xm:sqref>B12 D12:F12</xm:sqref>
        </x14:dataValidation>
        <x14:dataValidation type="list" allowBlank="1" showInputMessage="1" showErrorMessage="1" xr:uid="{00000000-0002-0000-0200-000008000000}">
          <x14:formula1>
            <xm:f>OFFSET(Lists!$Y$2, MATCH($C$1, Lists!$X$2:$X$5, 0)-1, 0, 1, 6)</xm:f>
          </x14:formula1>
          <xm:sqref>D22:F22</xm:sqref>
        </x14:dataValidation>
        <x14:dataValidation type="list" allowBlank="1" xr:uid="{00000000-0002-0000-0200-000009000000}">
          <x14:formula1>
            <xm:f>OFFSET(Lists!$R$2, MATCH($C$1, Lists!$Q$2:$Q$5, 0)-1, 0, 1, 6)</xm:f>
          </x14:formula1>
          <xm:sqref>B21 D21:F21</xm:sqref>
        </x14:dataValidation>
        <x14:dataValidation type="list" allowBlank="1" xr:uid="{00000000-0002-0000-0200-00000A000000}">
          <x14:formula1>
            <xm:f>OFFSET(Lists!$G$2, MATCH($C$1, Lists!$F$2:$F$6, 0)-1, 0, 1, 4)</xm:f>
          </x14:formula1>
          <xm:sqref>B14 D14:F14</xm:sqref>
        </x14:dataValidation>
        <x14:dataValidation type="list" allowBlank="1" xr:uid="{00000000-0002-0000-0200-00000B000000}">
          <x14:formula1>
            <xm:f>Lists!$A$9:$A$17</xm:f>
          </x14:formula1>
          <xm:sqref>B11 D11:F11</xm:sqref>
        </x14:dataValidation>
        <x14:dataValidation type="list" allowBlank="1" xr:uid="{00000000-0002-0000-0200-00000C000000}">
          <x14:formula1>
            <xm:f>Lists!$P$2:$P$9</xm:f>
          </x14:formula1>
          <xm:sqref>B20</xm:sqref>
        </x14:dataValidation>
        <x14:dataValidation type="list" allowBlank="1" xr:uid="{00000000-0002-0000-0200-00000D000000}">
          <x14:formula1>
            <xm:f>OFFSET(Lists!$Y$2, MATCH($C$1, Lists!$X$2:$X$5, 0)-1, 0, 1, 6)</xm:f>
          </x14:formula1>
          <xm:sqref>B22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7"/>
  <sheetViews>
    <sheetView zoomScale="90" zoomScaleNormal="90" workbookViewId="0">
      <selection activeCell="L20" sqref="L20"/>
    </sheetView>
  </sheetViews>
  <sheetFormatPr defaultRowHeight="14.4" x14ac:dyDescent="0.3"/>
  <cols>
    <col min="1" max="1" width="26.44140625" customWidth="1"/>
    <col min="2" max="2" width="30.44140625" customWidth="1"/>
    <col min="3" max="3" width="20.33203125" customWidth="1"/>
    <col min="4" max="4" width="13.5546875" customWidth="1"/>
    <col min="5" max="5" width="12.88671875" customWidth="1"/>
    <col min="6" max="6" width="21.109375" customWidth="1"/>
    <col min="7" max="7" width="32.44140625" customWidth="1"/>
    <col min="8" max="8" width="23.33203125" customWidth="1"/>
    <col min="9" max="9" width="23.109375" customWidth="1"/>
    <col min="10" max="12" width="13.109375" customWidth="1"/>
    <col min="13" max="13" width="20.109375" customWidth="1"/>
    <col min="14" max="14" width="24.109375" customWidth="1"/>
    <col min="15" max="15" width="56.5546875" customWidth="1"/>
    <col min="16" max="16" width="22.88671875" customWidth="1"/>
    <col min="17" max="17" width="15.5546875" customWidth="1"/>
    <col min="18" max="18" width="15" customWidth="1"/>
    <col min="19" max="19" width="9.5546875" customWidth="1"/>
    <col min="20" max="20" width="6.6640625" customWidth="1"/>
    <col min="21" max="21" width="5.33203125" customWidth="1"/>
    <col min="22" max="22" width="7" customWidth="1"/>
    <col min="23" max="23" width="20.88671875" customWidth="1"/>
    <col min="24" max="24" width="16.5546875" customWidth="1"/>
    <col min="25" max="25" width="29.33203125" customWidth="1"/>
    <col min="26" max="26" width="33.5546875" customWidth="1"/>
    <col min="27" max="27" width="37.44140625" customWidth="1"/>
    <col min="28" max="28" width="37.88671875" customWidth="1"/>
    <col min="29" max="29" width="66.109375" customWidth="1"/>
    <col min="30" max="30" width="21.109375" customWidth="1"/>
    <col min="31" max="31" width="22.44140625" customWidth="1"/>
  </cols>
  <sheetData>
    <row r="1" spans="1:31" ht="18.75" customHeight="1" x14ac:dyDescent="0.35">
      <c r="A1" s="20" t="s">
        <v>41</v>
      </c>
      <c r="B1" s="21" t="s">
        <v>18</v>
      </c>
      <c r="C1" s="3"/>
      <c r="D1" s="3"/>
      <c r="E1" s="3"/>
      <c r="F1" s="4"/>
      <c r="G1" s="19" t="s">
        <v>19</v>
      </c>
      <c r="H1" s="4"/>
      <c r="I1" s="4"/>
      <c r="J1" s="4"/>
      <c r="K1" s="29" t="s">
        <v>20</v>
      </c>
      <c r="L1" s="29"/>
      <c r="M1" s="22" t="s">
        <v>20</v>
      </c>
      <c r="N1" s="23" t="str">
        <f>IFERROR(VLOOKUP(J2,$N$2:$O$8,2,FALSE),"mAs")</f>
        <v>mAs</v>
      </c>
      <c r="O1" s="9"/>
      <c r="P1" s="24" t="s">
        <v>24</v>
      </c>
      <c r="Q1" s="2"/>
      <c r="R1" s="1" t="s">
        <v>25</v>
      </c>
      <c r="S1" s="2"/>
      <c r="T1" s="2"/>
      <c r="U1" s="2"/>
      <c r="V1" s="2"/>
      <c r="W1" s="2"/>
      <c r="X1" s="26"/>
      <c r="Y1" s="27" t="s">
        <v>42</v>
      </c>
      <c r="Z1" s="26"/>
      <c r="AA1" s="26"/>
      <c r="AB1" s="28"/>
      <c r="AC1" s="28"/>
      <c r="AD1" s="28"/>
      <c r="AE1" s="53" t="s">
        <v>28</v>
      </c>
    </row>
    <row r="2" spans="1:31" x14ac:dyDescent="0.3">
      <c r="A2" s="14" t="s">
        <v>1</v>
      </c>
      <c r="B2" s="18" t="s">
        <v>43</v>
      </c>
      <c r="C2" s="18" t="s">
        <v>44</v>
      </c>
      <c r="D2" s="18" t="s">
        <v>45</v>
      </c>
      <c r="E2" s="18"/>
      <c r="F2" s="15" t="s">
        <v>1</v>
      </c>
      <c r="G2" s="15" t="s">
        <v>43</v>
      </c>
      <c r="H2" s="15" t="s">
        <v>46</v>
      </c>
      <c r="I2" s="15" t="s">
        <v>45</v>
      </c>
      <c r="J2" s="15"/>
      <c r="K2" s="30" t="s">
        <v>43</v>
      </c>
      <c r="L2" s="30" t="s">
        <v>20</v>
      </c>
      <c r="M2" s="25">
        <v>70</v>
      </c>
      <c r="N2" s="16" t="s">
        <v>43</v>
      </c>
      <c r="O2" s="16" t="s">
        <v>121</v>
      </c>
      <c r="P2" s="14" t="s">
        <v>47</v>
      </c>
      <c r="Q2" s="12" t="s">
        <v>1</v>
      </c>
      <c r="R2" s="12" t="s">
        <v>48</v>
      </c>
      <c r="S2" s="12" t="s">
        <v>49</v>
      </c>
      <c r="T2" s="12" t="s">
        <v>50</v>
      </c>
      <c r="U2" s="12" t="s">
        <v>51</v>
      </c>
      <c r="V2" s="12" t="s">
        <v>52</v>
      </c>
      <c r="W2" s="12" t="s">
        <v>53</v>
      </c>
      <c r="X2" s="26" t="s">
        <v>1</v>
      </c>
      <c r="Y2" s="26" t="s">
        <v>54</v>
      </c>
      <c r="Z2" s="26" t="s">
        <v>55</v>
      </c>
      <c r="AA2" s="26" t="s">
        <v>56</v>
      </c>
      <c r="AB2" s="26" t="s">
        <v>57</v>
      </c>
      <c r="AC2" s="26" t="s">
        <v>58</v>
      </c>
      <c r="AD2" s="26" t="s">
        <v>53</v>
      </c>
      <c r="AE2" s="54">
        <v>1</v>
      </c>
    </row>
    <row r="3" spans="1:31" x14ac:dyDescent="0.3">
      <c r="A3" s="14" t="s">
        <v>59</v>
      </c>
      <c r="B3" s="18" t="s">
        <v>43</v>
      </c>
      <c r="C3" s="18" t="s">
        <v>60</v>
      </c>
      <c r="D3" s="18" t="s">
        <v>45</v>
      </c>
      <c r="E3" s="18"/>
      <c r="F3" s="15" t="s">
        <v>59</v>
      </c>
      <c r="G3" s="15" t="s">
        <v>43</v>
      </c>
      <c r="H3" s="15" t="s">
        <v>61</v>
      </c>
      <c r="I3" s="15" t="s">
        <v>62</v>
      </c>
      <c r="J3" s="15" t="s">
        <v>45</v>
      </c>
      <c r="K3" s="30" t="s">
        <v>44</v>
      </c>
      <c r="L3" s="30" t="s">
        <v>63</v>
      </c>
      <c r="M3" s="25">
        <v>80</v>
      </c>
      <c r="N3" s="16" t="s">
        <v>46</v>
      </c>
      <c r="O3" s="16" t="s">
        <v>64</v>
      </c>
      <c r="P3" s="14" t="s">
        <v>65</v>
      </c>
      <c r="Q3" s="12" t="s">
        <v>59</v>
      </c>
      <c r="R3" s="12" t="s">
        <v>66</v>
      </c>
      <c r="S3" s="12" t="s">
        <v>67</v>
      </c>
      <c r="T3" s="12" t="s">
        <v>68</v>
      </c>
      <c r="U3" s="12" t="s">
        <v>69</v>
      </c>
      <c r="V3" s="12" t="s">
        <v>70</v>
      </c>
      <c r="W3" s="12" t="s">
        <v>53</v>
      </c>
      <c r="X3" s="26" t="s">
        <v>59</v>
      </c>
      <c r="Y3" s="26" t="s">
        <v>54</v>
      </c>
      <c r="Z3" s="26" t="s">
        <v>71</v>
      </c>
      <c r="AA3" s="26" t="s">
        <v>72</v>
      </c>
      <c r="AB3" s="26" t="s">
        <v>73</v>
      </c>
      <c r="AC3" s="26" t="s">
        <v>74</v>
      </c>
      <c r="AD3" s="26" t="s">
        <v>53</v>
      </c>
      <c r="AE3" s="54">
        <v>2</v>
      </c>
    </row>
    <row r="4" spans="1:31" x14ac:dyDescent="0.3">
      <c r="A4" s="14" t="s">
        <v>75</v>
      </c>
      <c r="B4" s="18" t="s">
        <v>43</v>
      </c>
      <c r="C4" s="18" t="s">
        <v>76</v>
      </c>
      <c r="D4" s="18" t="s">
        <v>45</v>
      </c>
      <c r="E4" s="18"/>
      <c r="F4" s="15" t="s">
        <v>75</v>
      </c>
      <c r="G4" s="15" t="s">
        <v>43</v>
      </c>
      <c r="H4" s="15" t="s">
        <v>122</v>
      </c>
      <c r="I4" s="15" t="s">
        <v>123</v>
      </c>
      <c r="J4" s="15" t="s">
        <v>45</v>
      </c>
      <c r="K4" s="30" t="s">
        <v>60</v>
      </c>
      <c r="L4" s="30" t="s">
        <v>63</v>
      </c>
      <c r="M4" s="25">
        <v>90</v>
      </c>
      <c r="N4" s="16" t="s">
        <v>61</v>
      </c>
      <c r="O4" s="16" t="s">
        <v>77</v>
      </c>
      <c r="P4" s="14" t="s">
        <v>78</v>
      </c>
      <c r="Q4" s="12" t="s">
        <v>75</v>
      </c>
      <c r="R4" s="12" t="s">
        <v>79</v>
      </c>
      <c r="S4" s="12" t="s">
        <v>80</v>
      </c>
      <c r="T4" s="12" t="s">
        <v>81</v>
      </c>
      <c r="U4" s="12" t="s">
        <v>82</v>
      </c>
      <c r="V4" s="12" t="s">
        <v>83</v>
      </c>
      <c r="W4" s="12" t="s">
        <v>53</v>
      </c>
      <c r="X4" s="26" t="s">
        <v>75</v>
      </c>
      <c r="Y4" s="26" t="s">
        <v>54</v>
      </c>
      <c r="Z4" s="26" t="s">
        <v>84</v>
      </c>
      <c r="AA4" s="26" t="s">
        <v>85</v>
      </c>
      <c r="AB4" s="26" t="s">
        <v>53</v>
      </c>
      <c r="AC4" s="26"/>
      <c r="AD4" s="28"/>
      <c r="AE4" s="54">
        <v>3</v>
      </c>
    </row>
    <row r="5" spans="1:31" x14ac:dyDescent="0.3">
      <c r="A5" s="14" t="s">
        <v>86</v>
      </c>
      <c r="B5" s="18" t="s">
        <v>43</v>
      </c>
      <c r="C5" s="18" t="s">
        <v>87</v>
      </c>
      <c r="D5" s="18" t="s">
        <v>88</v>
      </c>
      <c r="E5" s="18" t="s">
        <v>45</v>
      </c>
      <c r="F5" s="15" t="s">
        <v>86</v>
      </c>
      <c r="G5" s="15" t="s">
        <v>43</v>
      </c>
      <c r="H5" s="15" t="s">
        <v>89</v>
      </c>
      <c r="I5" s="15" t="s">
        <v>90</v>
      </c>
      <c r="J5" s="15" t="s">
        <v>45</v>
      </c>
      <c r="K5" s="30" t="s">
        <v>76</v>
      </c>
      <c r="L5" s="30" t="s">
        <v>63</v>
      </c>
      <c r="M5" s="25">
        <v>100</v>
      </c>
      <c r="N5" s="16" t="s">
        <v>62</v>
      </c>
      <c r="O5" s="16" t="s">
        <v>77</v>
      </c>
      <c r="P5" s="14" t="s">
        <v>91</v>
      </c>
      <c r="Q5" s="12" t="s">
        <v>86</v>
      </c>
      <c r="R5" s="12" t="s">
        <v>92</v>
      </c>
      <c r="S5" s="12" t="s">
        <v>93</v>
      </c>
      <c r="T5" s="12" t="s">
        <v>94</v>
      </c>
      <c r="U5" s="12" t="s">
        <v>95</v>
      </c>
      <c r="V5" s="12" t="s">
        <v>96</v>
      </c>
      <c r="W5" s="12" t="s">
        <v>53</v>
      </c>
      <c r="X5" s="26" t="s">
        <v>86</v>
      </c>
      <c r="Y5" s="26" t="s">
        <v>54</v>
      </c>
      <c r="Z5" s="26" t="s">
        <v>97</v>
      </c>
      <c r="AA5" s="26" t="s">
        <v>98</v>
      </c>
      <c r="AB5" s="26" t="s">
        <v>53</v>
      </c>
      <c r="AC5" s="26"/>
      <c r="AD5" s="28"/>
      <c r="AE5" s="54">
        <v>4</v>
      </c>
    </row>
    <row r="6" spans="1:31" x14ac:dyDescent="0.3">
      <c r="A6" s="14" t="s">
        <v>53</v>
      </c>
      <c r="B6" s="18" t="s">
        <v>43</v>
      </c>
      <c r="C6" s="18" t="s">
        <v>120</v>
      </c>
      <c r="D6" s="18"/>
      <c r="E6" s="18" t="s">
        <v>45</v>
      </c>
      <c r="F6" s="15" t="s">
        <v>53</v>
      </c>
      <c r="G6" s="15" t="s">
        <v>43</v>
      </c>
      <c r="H6" s="15"/>
      <c r="I6" s="15"/>
      <c r="J6" s="15" t="s">
        <v>45</v>
      </c>
      <c r="K6" s="30" t="s">
        <v>87</v>
      </c>
      <c r="L6" s="30" t="s">
        <v>63</v>
      </c>
      <c r="M6" s="25">
        <v>110</v>
      </c>
      <c r="N6" s="16" t="s">
        <v>99</v>
      </c>
      <c r="O6" s="16" t="s">
        <v>100</v>
      </c>
      <c r="P6" s="14" t="s">
        <v>101</v>
      </c>
      <c r="AE6" s="54" t="s">
        <v>53</v>
      </c>
    </row>
    <row r="7" spans="1:31" x14ac:dyDescent="0.3">
      <c r="K7" s="30" t="s">
        <v>88</v>
      </c>
      <c r="L7" s="30" t="s">
        <v>63</v>
      </c>
      <c r="M7" s="25">
        <v>120</v>
      </c>
      <c r="N7" s="16" t="s">
        <v>124</v>
      </c>
      <c r="O7" s="16" t="s">
        <v>129</v>
      </c>
      <c r="P7" s="14" t="s">
        <v>102</v>
      </c>
    </row>
    <row r="8" spans="1:31" ht="18.75" customHeight="1" x14ac:dyDescent="0.35">
      <c r="A8" s="20" t="s">
        <v>16</v>
      </c>
      <c r="C8" s="20" t="s">
        <v>17</v>
      </c>
      <c r="D8" s="17"/>
      <c r="K8" s="30" t="s">
        <v>45</v>
      </c>
      <c r="L8" s="30" t="s">
        <v>20</v>
      </c>
      <c r="M8" s="25">
        <v>130</v>
      </c>
      <c r="N8" s="16" t="s">
        <v>123</v>
      </c>
      <c r="O8" s="16" t="s">
        <v>129</v>
      </c>
      <c r="P8" s="14" t="s">
        <v>103</v>
      </c>
    </row>
    <row r="9" spans="1:31" x14ac:dyDescent="0.3">
      <c r="A9" s="13" t="s">
        <v>91</v>
      </c>
      <c r="B9" s="6"/>
      <c r="C9" s="13" t="s">
        <v>104</v>
      </c>
      <c r="D9" s="10"/>
      <c r="M9" s="25">
        <v>140</v>
      </c>
      <c r="N9" s="16" t="s">
        <v>89</v>
      </c>
      <c r="O9" s="16" t="s">
        <v>105</v>
      </c>
      <c r="P9" s="14" t="s">
        <v>53</v>
      </c>
    </row>
    <row r="10" spans="1:31" x14ac:dyDescent="0.3">
      <c r="A10" s="13" t="s">
        <v>106</v>
      </c>
      <c r="B10" s="6"/>
      <c r="C10" s="13" t="s">
        <v>107</v>
      </c>
      <c r="D10" s="10"/>
      <c r="M10" s="25">
        <v>150</v>
      </c>
      <c r="N10" s="16" t="s">
        <v>90</v>
      </c>
      <c r="O10" s="16" t="s">
        <v>108</v>
      </c>
    </row>
    <row r="11" spans="1:31" x14ac:dyDescent="0.3">
      <c r="A11" s="13" t="s">
        <v>53</v>
      </c>
      <c r="B11" s="6"/>
      <c r="C11" s="13" t="s">
        <v>53</v>
      </c>
      <c r="D11" s="10"/>
      <c r="M11" s="25" t="s">
        <v>110</v>
      </c>
      <c r="N11" s="16" t="s">
        <v>111</v>
      </c>
      <c r="O11" s="16" t="s">
        <v>112</v>
      </c>
    </row>
    <row r="12" spans="1:31" x14ac:dyDescent="0.3">
      <c r="A12" s="13" t="s">
        <v>109</v>
      </c>
      <c r="B12" s="6"/>
      <c r="M12" s="25" t="s">
        <v>114</v>
      </c>
    </row>
    <row r="13" spans="1:31" x14ac:dyDescent="0.3">
      <c r="A13" s="13" t="s">
        <v>113</v>
      </c>
      <c r="B13" s="6"/>
      <c r="M13" s="25" t="s">
        <v>116</v>
      </c>
    </row>
    <row r="14" spans="1:31" x14ac:dyDescent="0.3">
      <c r="A14" s="13" t="s">
        <v>115</v>
      </c>
      <c r="B14" s="6"/>
      <c r="M14" s="25" t="s">
        <v>118</v>
      </c>
    </row>
    <row r="15" spans="1:31" x14ac:dyDescent="0.3">
      <c r="A15" s="13" t="s">
        <v>117</v>
      </c>
      <c r="B15" s="6"/>
    </row>
    <row r="16" spans="1:31" x14ac:dyDescent="0.3">
      <c r="A16" s="13" t="s">
        <v>119</v>
      </c>
      <c r="B16" s="6"/>
    </row>
    <row r="17" spans="1:1" x14ac:dyDescent="0.3">
      <c r="A17" s="13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/>
  </sheetViews>
  <sheetFormatPr defaultRowHeight="14.4" x14ac:dyDescent="0.3"/>
  <sheetData>
    <row r="1" spans="1:6" x14ac:dyDescent="0.3">
      <c r="A1" t="s">
        <v>1</v>
      </c>
      <c r="B1" t="s">
        <v>43</v>
      </c>
      <c r="C1" t="s">
        <v>43</v>
      </c>
      <c r="D1" t="s">
        <v>43</v>
      </c>
      <c r="E1" t="s">
        <v>43</v>
      </c>
      <c r="F1" t="s">
        <v>43</v>
      </c>
    </row>
    <row r="2" spans="1:6" x14ac:dyDescent="0.3">
      <c r="A2" t="s">
        <v>59</v>
      </c>
      <c r="B2" t="s">
        <v>44</v>
      </c>
      <c r="C2" t="s">
        <v>60</v>
      </c>
      <c r="D2" t="s">
        <v>76</v>
      </c>
      <c r="E2" t="s">
        <v>87</v>
      </c>
      <c r="F2" t="s">
        <v>45</v>
      </c>
    </row>
    <row r="3" spans="1:6" x14ac:dyDescent="0.3">
      <c r="A3" t="s">
        <v>75</v>
      </c>
      <c r="B3" t="s">
        <v>45</v>
      </c>
      <c r="C3" t="s">
        <v>45</v>
      </c>
      <c r="D3" t="s">
        <v>45</v>
      </c>
      <c r="E3" t="s">
        <v>88</v>
      </c>
    </row>
    <row r="4" spans="1:6" x14ac:dyDescent="0.3">
      <c r="A4" t="s">
        <v>86</v>
      </c>
      <c r="E4" t="s">
        <v>45</v>
      </c>
    </row>
    <row r="5" spans="1:6" x14ac:dyDescent="0.3">
      <c r="A5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5</vt:i4>
      </vt:variant>
      <vt:variant>
        <vt:lpstr>Καθορισμένες περιοχές</vt:lpstr>
      </vt:variant>
      <vt:variant>
        <vt:i4>6</vt:i4>
      </vt:variant>
    </vt:vector>
  </HeadingPairs>
  <TitlesOfParts>
    <vt:vector size="11" baseType="lpstr">
      <vt:lpstr>Pediatric Head CT Protocols</vt:lpstr>
      <vt:lpstr>Pediatric Body CT Protocols</vt:lpstr>
      <vt:lpstr>Adult CT Protocols</vt:lpstr>
      <vt:lpstr>Lists</vt:lpstr>
      <vt:lpstr>_Dropdown_Source</vt:lpstr>
      <vt:lpstr>Canon</vt:lpstr>
      <vt:lpstr>CT_Manufacturers</vt:lpstr>
      <vt:lpstr>General_Electric</vt:lpstr>
      <vt:lpstr>Other_Please_Specify</vt:lpstr>
      <vt:lpstr>Philips</vt:lpstr>
      <vt:lpstr>Siemens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ΑΝΤΩΝΗΣ ΠΑΠΑΔΑΚΗΣ</dc:creator>
  <cp:lastModifiedBy>John Stratakis</cp:lastModifiedBy>
  <dcterms:created xsi:type="dcterms:W3CDTF">2026-04-30T07:27:57Z</dcterms:created>
  <dcterms:modified xsi:type="dcterms:W3CDTF">2026-05-08T13:40:30Z</dcterms:modified>
</cp:coreProperties>
</file>